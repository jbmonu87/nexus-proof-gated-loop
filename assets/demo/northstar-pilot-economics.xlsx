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500ae3796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economics" sheetId="1" r:id="R8159313f7e28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%"/>
  </x:numFmts>
  <x:fonts count="6">
    <x:font>
      <x:sz val="11"/>
      <x:name val="Carlito"/>
    </x:font>
    <x:font>
      <x:sz val="12"/>
      <x:color rgb="FF163D39"/>
      <x:name val="Arial"/>
    </x:font>
    <x:font>
      <x:b/>
      <x:sz val="18"/>
      <x:color rgb="FF163D39"/>
      <x:name val="Arial"/>
    </x:font>
    <x:font>
      <x:b/>
      <x:sz val="12"/>
      <x:color rgb="FFFFFFFF"/>
      <x:name val="Arial"/>
    </x:font>
    <x:font>
      <x:sz val="12"/>
      <x:color rgb="FF235CAD"/>
      <x:name val="Arial"/>
    </x:font>
    <x:font>
      <x:b/>
      <x:sz val="12"/>
      <x:color rgb="FF163D3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39"/>
      </x:patternFill>
    </x:fill>
    <x:fill>
      <x:patternFill patternType="solid">
        <x:fgColor rgb="FFE1EEE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1" fillId="0" borderId="0" xfId="0" applyNumberFormat="1" applyFont="1" applyFill="1" applyBorder="1"/>
    <x:xf numFmtId="201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2e06ee3ab4b55" /><Relationship Type="http://schemas.openxmlformats.org/officeDocument/2006/relationships/theme" Target="/xl/theme/theme1.xml" Id="R6482382ba3b54455" /><Relationship Type="http://schemas.openxmlformats.org/officeDocument/2006/relationships/sharedStrings" Target="/xl/sharedStrings.xml" Id="Rd01c0dfd59214db6" /><Relationship Type="http://schemas.openxmlformats.org/officeDocument/2006/relationships/worksheet" Target="/xl/worksheets/sheet1.xml" Id="R8159313f7e2840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2" t="str">
        <x:v>Northstar pilot economics</x:v>
      </x:c>
      <x:c r="B1" s="2"/>
      <x:c r="C1" s="2"/>
      <x:c r="D1" s="2"/>
      <x:c r="E1" s="2"/>
      <x:c r="F1" s="2"/>
    </x:row>
    <x:row r="2" ht="30" customHeight="1">
      <x:c r="A2" s="1" t="str">
        <x:v>Fictional company and synthetic inputs. USD per month.</x:v>
      </x:c>
      <x:c r="B2" s="1"/>
      <x:c r="C2" s="1"/>
      <x:c r="D2" s="1"/>
      <x:c r="E2" s="1"/>
      <x:c r="F2" s="1"/>
    </x:row>
    <x:row r="3" ht="30" customHeight="1">
      <x:c r="A3" s="1"/>
      <x:c r="B3" s="1"/>
      <x:c r="C3" s="1"/>
      <x:c r="D3" s="1"/>
      <x:c r="E3" s="1"/>
      <x:c r="F3" s="1"/>
    </x:row>
    <x:row r="4" ht="30" customHeight="1">
      <x:c r="A4" s="4" t="str">
        <x:v>Full-scale economics</x:v>
      </x:c>
      <x:c r="B4" s="4" t="str">
        <x:v>Base case</x:v>
      </x:c>
      <x:c r="C4" s="4" t="str">
        <x:v>Downside</x:v>
      </x:c>
      <x:c r="D4" s="1"/>
      <x:c r="E4" s="1"/>
      <x:c r="F4" s="1"/>
    </x:row>
    <x:row r="5" ht="30" customHeight="1">
      <x:c r="A5" s="1" t="str">
        <x:v>Sites</x:v>
      </x:c>
      <x:c r="B5" s="5" t="n">
        <x:v>20</x:v>
      </x:c>
      <x:c r="C5" s="5" t="n">
        <x:v>20</x:v>
      </x:c>
      <x:c r="D5" s="1"/>
      <x:c r="E5" s="1"/>
      <x:c r="F5" s="1"/>
    </x:row>
    <x:row r="6" ht="30" customHeight="1">
      <x:c r="A6" s="1" t="str">
        <x:v>Visits per site per month</x:v>
      </x:c>
      <x:c r="B6" s="5" t="n">
        <x:v>100</x:v>
      </x:c>
      <x:c r="C6" s="5" t="n">
        <x:v>100</x:v>
      </x:c>
      <x:c r="D6" s="1"/>
      <x:c r="E6" s="1"/>
      <x:c r="F6" s="1"/>
    </x:row>
    <x:row r="7" ht="30" customHeight="1">
      <x:c r="A7" s="1" t="str">
        <x:v>Revenue per visit</x:v>
      </x:c>
      <x:c r="B7" s="6" t="n">
        <x:v>500</x:v>
      </x:c>
      <x:c r="C7" s="6" t="n">
        <x:v>500</x:v>
      </x:c>
      <x:c r="D7" s="1"/>
      <x:c r="E7" s="1"/>
      <x:c r="F7" s="1"/>
    </x:row>
    <x:row r="8" ht="30" customHeight="1">
      <x:c r="A8" s="1" t="str">
        <x:v>Monthly revenue</x:v>
      </x:c>
      <x:c r="B8" s="7" t="n">
        <x:f>B5*B6*B7</x:f>
        <x:v>1000000</x:v>
      </x:c>
      <x:c r="C8" s="7" t="n">
        <x:f>C5*C6*C7</x:f>
        <x:v>1000000</x:v>
      </x:c>
      <x:c r="D8" s="1"/>
      <x:c r="E8" s="1"/>
      <x:c r="F8" s="1"/>
    </x:row>
    <x:row r="9" ht="30" customHeight="1">
      <x:c r="A9" s="1" t="str">
        <x:v>Direct cost as share of revenue</x:v>
      </x:c>
      <x:c r="B9" s="8" t="n">
        <x:v>0.62</x:v>
      </x:c>
      <x:c r="C9" s="8" t="n">
        <x:v>0.7</x:v>
      </x:c>
      <x:c r="D9" s="1"/>
      <x:c r="E9" s="1"/>
      <x:c r="F9" s="1"/>
    </x:row>
    <x:row r="10" ht="30" customHeight="1">
      <x:c r="A10" s="1" t="str">
        <x:v>Direct cost</x:v>
      </x:c>
      <x:c r="B10" s="7" t="n">
        <x:f>B8*B9</x:f>
        <x:v>620000</x:v>
      </x:c>
      <x:c r="C10" s="7" t="n">
        <x:f>C8*C9</x:f>
        <x:v>700000</x:v>
      </x:c>
      <x:c r="D10" s="1"/>
      <x:c r="E10" s="1"/>
      <x:c r="F10" s="1"/>
    </x:row>
    <x:row r="11" ht="30" customHeight="1">
      <x:c r="A11" s="1" t="str">
        <x:v>Fixed monthly cost</x:v>
      </x:c>
      <x:c r="B11" s="6" t="n">
        <x:v>260000</x:v>
      </x:c>
      <x:c r="C11" s="6" t="n">
        <x:v>260000</x:v>
      </x:c>
      <x:c r="D11" s="1"/>
      <x:c r="E11" s="1"/>
      <x:c r="F11" s="1"/>
    </x:row>
    <x:row r="12" ht="30" customHeight="1">
      <x:c r="A12" s="13" t="str">
        <x:v>Operating surplus</x:v>
      </x:c>
      <x:c r="B12" s="14" t="n">
        <x:f>B8-B10-B11</x:f>
        <x:v>120000</x:v>
      </x:c>
      <x:c r="C12" s="14" t="n">
        <x:f>C8-C10-C11</x:f>
        <x:v>40000</x:v>
      </x:c>
      <x:c r="D12" s="1"/>
      <x:c r="E12" s="1"/>
      <x:c r="F12" s="1"/>
    </x:row>
    <x:row r="13" ht="30" customHeight="1">
      <x:c r="A13" s="13" t="str">
        <x:v>Surplus margin</x:v>
      </x:c>
      <x:c r="B13" s="15" t="n">
        <x:f>B12/B8</x:f>
        <x:v>0.12</x:v>
      </x:c>
      <x:c r="C13" s="15" t="n">
        <x:f>C12/C8</x:f>
        <x:v>0.04</x:v>
      </x:c>
      <x:c r="D13" s="1"/>
      <x:c r="E13" s="1"/>
      <x:c r="F13" s="1"/>
    </x:row>
    <x:row r="14" ht="30" customHeight="1">
      <x:c r="A14" s="13" t="str">
        <x:v>Downside exposure</x:v>
      </x:c>
      <x:c r="B14" s="14" t="n">
        <x:f>B12-C12</x:f>
        <x:v>80000</x:v>
      </x:c>
      <x:c r="C14" s="14"/>
      <x:c r="D14" s="1"/>
      <x:c r="E14" s="1"/>
      <x:c r="F14" s="1"/>
    </x:row>
    <x:row r="15" ht="30" customHeight="1">
      <x:c r="A15" s="1"/>
      <x:c r="B15" s="1"/>
      <x:c r="C15" s="1"/>
      <x:c r="D15" s="1"/>
      <x:c r="E15" s="1"/>
      <x:c r="F15" s="1"/>
    </x:row>
    <x:row r="16" ht="30" customHeight="1">
      <x:c r="A16" s="1"/>
      <x:c r="B16" s="1"/>
      <x:c r="C16" s="1"/>
      <x:c r="D16" s="1"/>
      <x:c r="E16" s="1"/>
      <x:c r="F16" s="1"/>
    </x:row>
    <x:row r="17" ht="30" customHeight="1">
      <x:c r="A17" s="1" t="str">
        <x:v>Decision: pilot five sites and validate field costs before expansion.</x:v>
      </x:c>
      <x:c r="B17" s="1"/>
      <x:c r="C17" s="1"/>
      <x:c r="D17" s="1"/>
      <x:c r="E17" s="1"/>
      <x:c r="F17" s="1"/>
    </x:row>
    <x:row r="18" ht="30" customHeight="1">
      <x:c r="A18" s="1"/>
      <x:c r="B18" s="1"/>
      <x:c r="C18" s="1"/>
      <x:c r="D18" s="1"/>
      <x:c r="E18" s="1"/>
      <x:c r="F18" s="1"/>
    </x:row>
    <x:row r="19" ht="30" customHeight="1">
      <x:c r="A19" s="1" t="str">
        <x:v>Source: constructed demonstration assumptions, not research or operating results.</x:v>
      </x:c>
      <x:c r="B19" s="1"/>
      <x:c r="C19" s="1"/>
      <x:c r="D19" s="1"/>
      <x:c r="E19" s="1"/>
      <x:c r="F19" s="1"/>
    </x:row>
    <x:row r="20" ht="30" customHeight="1">
      <x:c r="A20" s="1"/>
      <x:c r="B20" s="1"/>
      <x:c r="C20" s="1"/>
      <x:c r="D20" s="1"/>
      <x:c r="E20" s="1"/>
      <x:c r="F20" s="1"/>
    </x:row>
  </x:sheetData>
  <x:mergeCells>
    <x:mergeCell ref="A1:F1"/>
    <x:mergeCell ref="A2:F2"/>
    <x:mergeCell ref="A17:F17"/>
    <x:mergeCell ref="A19:F19"/>
  </x:mergeCells>
  <x:pageMargins left="0.7" right="0.7" top="0.75" bottom="0.75" header="0.3" footer="0.3"/>
</x:worksheet>
</file>